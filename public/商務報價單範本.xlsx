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商務報價單" state="visible" r:id="rId4"/>
  </sheets>
  <calcPr calcId="171027"/>
</workbook>
</file>

<file path=xl/sharedStrings.xml><?xml version="1.0" encoding="utf-8"?>
<sst xmlns="http://schemas.openxmlformats.org/spreadsheetml/2006/main" count="59" uniqueCount="57">
  <si>
    <t>商  務  報  價  單 (QUOTATION)</t>
  </si>
  <si>
    <t>Professional IT Solutions &amp; Cloud Architecture</t>
  </si>
  <si>
    <t>【報價廠商資訊】</t>
  </si>
  <si>
    <t>【報價單編號與日期】</t>
  </si>
  <si>
    <t>公司名稱：{{公司名稱 | 智匯創想科技有限公司}}</t>
  </si>
  <si>
    <t>報價單號：</t>
  </si>
  <si>
    <t>{{報價單號 | QT-202609-008}}</t>
  </si>
  <si>
    <t>統一編號：{{公司統編 | 83294102}}</t>
  </si>
  <si>
    <t>報價日期：</t>
  </si>
  <si>
    <t>{{報價日期 | 2026/09/28}}</t>
  </si>
  <si>
    <t>聯絡地址：{{聯絡地址 | 台北市信義區信義路五段7號32樓}}</t>
  </si>
  <si>
    <t>有效期限：</t>
  </si>
  <si>
    <t>{{有效期限 | 2026/10/28}}</t>
  </si>
  <si>
    <t>聯絡電話：{{聯絡電話 | 02-8765-4321}}</t>
  </si>
  <si>
    <t>電子信箱：{{聯絡信箱 | contact@smart-ideation.tw}}</t>
  </si>
  <si>
    <t>【報價對象客戶】</t>
  </si>
  <si>
    <t>客戶名稱：{{客戶名稱 | 宏達創新數位股份有限公司}}</t>
  </si>
  <si>
    <t>統一編號：{{客戶統編 | 54932187}}</t>
  </si>
  <si>
    <t>負責窗口：{{客戶窗口 | 葉經理 (David Yeh)}}</t>
  </si>
  <si>
    <t>專案名稱：{{專案名稱 | 企業級智能雲端協作系統建置案}}</t>
  </si>
  <si>
    <t>項次</t>
  </si>
  <si>
    <t>項目名稱</t>
  </si>
  <si>
    <t>規格說明</t>
  </si>
  <si>
    <t>單位</t>
  </si>
  <si>
    <t>數量</t>
  </si>
  <si>
    <t>單價 (TWD)</t>
  </si>
  <si>
    <t>金額 (TWD)</t>
  </si>
  <si>
    <t>{{項目一_名稱 | 雲端架構規劃與資安健檢}}</t>
  </si>
  <si>
    <t>{{項目一_規格 | AWS/GCP 雙雲架構設計與架構白皮書交付}}</t>
  </si>
  <si>
    <t>式</t>
  </si>
  <si>
    <t>{{項目一_數量 | 1}}</t>
  </si>
  <si>
    <t>{{項目一_單價 | 120000}}</t>
  </si>
  <si>
    <t>{{項目二_名稱 | 微服務後端與資料庫叢集部署}}</t>
  </si>
  <si>
    <t>{{項目二_規格 | Kubernetes 叢集、PostgreSQL 高可用性配置}}</t>
  </si>
  <si>
    <t>{{項目二_數量 | 1}}</t>
  </si>
  <si>
    <t>{{項目二_單價 | 280000}}</t>
  </si>
  <si>
    <t>{{項目三_名稱 | 企業前端 SPA 與管理儀表板開發}}</t>
  </si>
  <si>
    <t>{{項目三_規格 | React + TypeScript 高階互動介面}}</t>
  </si>
  <si>
    <t>{{項目三_數量 | 1}}</t>
  </si>
  <si>
    <t>{{項目三_單價 | 250000}}</t>
  </si>
  <si>
    <t>{{項目四_名稱 | 系統壓力測試與資安滲透演練}}</t>
  </si>
  <si>
    <t>{{項目四_規格 | 負載模擬測試與弱點修補報告}}</t>
  </si>
  <si>
    <t>次</t>
  </si>
  <si>
    <t>{{項目四_數量 | 1}}</t>
  </si>
  <si>
    <t>{{項目四_單價 | 80000}}</t>
  </si>
  <si>
    <t>小計 (未稅 Subtotal)</t>
  </si>
  <si>
    <t>營業稅 (VAT 5%)</t>
  </si>
  <si>
    <t>總計金額 (含稅 Grand Total TWD)</t>
  </si>
  <si>
    <t>【付款條件與帳戶資訊】</t>
  </si>
  <si>
    <t>付款方式：{{付款方式 | 簽約款 30%，期中款 40%，驗收款 30%，匯款手續費由受款人負擔}}</t>
  </si>
  <si>
    <t>匯款銀行：{{匯款銀行 | 玉山銀行 (808) 信義分行}}</t>
  </si>
  <si>
    <t>銀行帳號：{{匯款帳號 | 0123-940-123456}}</t>
  </si>
  <si>
    <t>銀行戶名：{{戶名 | 智匯創想科技有限公司}}</t>
  </si>
  <si>
    <t>【備註與條款】</t>
  </si>
  <si>
    <t xml:space="preserve">{{備註條款 | 1. 本報價單經雙方簽署用印後即生法律約束力。
2. 專案保固期為系統正式上線驗收合格日起算一年整。
3. 超出本規格所列項目之延伸需求，雙方另依工時簽訂補充協議。}}</t>
  </si>
  <si>
    <t>報價方簽章：____________________</t>
  </si>
  <si>
    <t>客戶確認簽章：____________________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</si>
</sst>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E293B"/>
      <sz val="18"/>
      <name val="Microsoft JhengHei"/>
    </font>
    <font>
      <i/>
      <color rgb="FF64748B"/>
      <sz val="10"/>
      <name val="Segoe UI"/>
    </font>
    <font>
      <b/>
      <color rgb="FF1E3A8A"/>
      <sz val="11"/>
      <name val="Microsoft JhengHei"/>
    </font>
    <font>
      <b/>
      <color rgb="FF0F172A"/>
      <sz val="11"/>
      <name val="Microsoft JhengHei"/>
    </font>
    <font>
      <b/>
      <color rgb="FFFFFFFF"/>
      <sz val="10"/>
      <name val="Microsoft JhengHei"/>
    </font>
    <font>
      <sz val="10"/>
      <name val="Microsoft JhengHei"/>
    </font>
    <font>
      <b/>
      <sz val="10"/>
      <name val="Microsoft JhengHei"/>
    </font>
    <font>
      <b/>
      <color rgb="FF1E3A8A"/>
      <sz val="12"/>
      <name val="Microsoft JhengHei"/>
    </font>
    <font>
      <b/>
      <color rgb="FF1E293B"/>
      <sz val="10"/>
      <name val="Microsoft JhengHe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1F5F9"/>
      </patternFill>
    </fill>
  </fills>
  <borders count="5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64748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64748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3" fontId="6" fillId="0" borderId="2" xfId="0" applyNumberFormat="1" applyFont="1" applyBorder="1" applyAlignment="1">
      <alignment horizontal="right" vertical="center"/>
    </xf>
    <xf numFmtId="0" fontId="0" fillId="0" borderId="3" xfId="0" applyBorder="1"/>
    <xf numFmtId="0" fontId="7" fillId="0" borderId="3" xfId="0" applyFont="1" applyBorder="1" applyAlignment="1">
      <alignment horizontal="right" vertical="center"/>
    </xf>
    <xf numFmtId="3" fontId="7" fillId="0" borderId="3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3" fontId="0" fillId="0" borderId="3" xfId="0" applyNumberFormat="1" applyBorder="1" applyAlignment="1">
      <alignment horizontal="right" vertical="center"/>
    </xf>
    <xf numFmtId="0" fontId="0" fillId="0" borderId="4" xfId="0" applyBorder="1"/>
    <xf numFmtId="0" fontId="3" fillId="3" borderId="4" xfId="0" applyFont="1" applyFill="1" applyBorder="1" applyAlignment="1">
      <alignment horizontal="right" vertical="center"/>
    </xf>
    <xf numFmtId="3" fontId="8" fillId="3" borderId="4" xfId="0" applyNumberFormat="1" applyFont="1" applyFill="1" applyBorder="1" applyAlignment="1">
      <alignment horizontal="right" vertical="center"/>
    </xf>
    <xf numFmtId="0" fontId="9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12000</xdr:colOff>
      <xdr:row>0</xdr:row>
      <xdr:rowOff>144000</xdr:rowOff>
    </xdr:from>
    <xdr:ext cx="714375" cy="714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34"/>
  <sheetFormatPr defaultRowHeight="15" outlineLevelRow="0" outlineLevelCol="0" x14ac:dyDescent="55"/>
  <cols>
    <col min="1" max="1" width="6" customWidth="1"/>
    <col min="2" max="2" width="22" customWidth="1"/>
    <col min="3" max="3" width="28" customWidth="1"/>
    <col min="4" max="4" width="14" customWidth="1"/>
    <col min="5" max="5" width="10" customWidth="1"/>
    <col min="6" max="6" width="14" customWidth="1"/>
    <col min="7" max="7" width="18" customWidth="1"/>
  </cols>
  <sheetData>
    <row r="2" ht="36" customHeight="1" spans="2:7" x14ac:dyDescent="0.25">
      <c r="B2" s="1" t="s">
        <v>0</v>
      </c>
      <c r="C2" s="1"/>
      <c r="D2" s="1"/>
      <c r="E2" s="1"/>
      <c r="F2" s="1"/>
      <c r="G2" s="1"/>
    </row>
    <row r="3" spans="2:7" x14ac:dyDescent="0.25">
      <c r="B3" s="2" t="s">
        <v>1</v>
      </c>
      <c r="C3" s="2"/>
      <c r="D3" s="2"/>
      <c r="E3" s="2"/>
      <c r="F3" s="2"/>
      <c r="G3" s="2"/>
    </row>
    <row r="5" spans="2:5" x14ac:dyDescent="0.25">
      <c r="B5" s="3" t="s">
        <v>2</v>
      </c>
      <c r="E5" s="3" t="s">
        <v>3</v>
      </c>
    </row>
    <row r="6" spans="2:6" x14ac:dyDescent="0.25">
      <c r="B6" t="s">
        <v>4</v>
      </c>
      <c r="E6" t="s">
        <v>5</v>
      </c>
      <c r="F6" t="s">
        <v>6</v>
      </c>
    </row>
    <row r="7" spans="2:6" x14ac:dyDescent="0.25">
      <c r="B7" t="s">
        <v>7</v>
      </c>
      <c r="E7" t="s">
        <v>8</v>
      </c>
      <c r="F7" t="s">
        <v>9</v>
      </c>
    </row>
    <row r="8" spans="2:6" x14ac:dyDescent="0.25">
      <c r="B8" t="s">
        <v>10</v>
      </c>
      <c r="E8" t="s">
        <v>11</v>
      </c>
      <c r="F8" t="s">
        <v>12</v>
      </c>
    </row>
    <row r="9" spans="2:2" x14ac:dyDescent="0.25">
      <c r="B9" t="s">
        <v>13</v>
      </c>
    </row>
    <row r="10" spans="2:2" x14ac:dyDescent="0.25">
      <c r="B10" t="s">
        <v>14</v>
      </c>
    </row>
    <row r="12" spans="2:7" x14ac:dyDescent="0.25">
      <c r="B12" s="3" t="s">
        <v>15</v>
      </c>
      <c r="C12" s="3"/>
      <c r="D12" s="3"/>
      <c r="E12" s="3"/>
      <c r="F12" s="3"/>
      <c r="G12" s="3"/>
    </row>
    <row r="13" spans="2:6" x14ac:dyDescent="0.25">
      <c r="B13" t="s">
        <v>16</v>
      </c>
      <c r="D13" t="s">
        <v>17</v>
      </c>
      <c r="F13" t="s">
        <v>18</v>
      </c>
    </row>
    <row r="14" spans="2:7" x14ac:dyDescent="0.25">
      <c r="B14" s="4" t="s">
        <v>19</v>
      </c>
      <c r="C14" s="4"/>
      <c r="D14" s="4"/>
      <c r="E14" s="4"/>
      <c r="F14" s="4"/>
      <c r="G14" s="4"/>
    </row>
    <row r="16" ht="26" customHeight="1" spans="1:7" x14ac:dyDescent="0.25">
      <c r="A16" s="5" t="s">
        <v>20</v>
      </c>
      <c r="B16" s="5" t="s">
        <v>21</v>
      </c>
      <c r="C16" s="5" t="s">
        <v>22</v>
      </c>
      <c r="D16" s="5" t="s">
        <v>23</v>
      </c>
      <c r="E16" s="6" t="s">
        <v>24</v>
      </c>
      <c r="F16" s="6" t="s">
        <v>25</v>
      </c>
      <c r="G16" s="6" t="s">
        <v>26</v>
      </c>
    </row>
    <row r="17" ht="24" customHeight="1" spans="1:7" x14ac:dyDescent="0.25">
      <c r="A17" s="7">
        <v>1</v>
      </c>
      <c r="B17" s="8" t="s">
        <v>27</v>
      </c>
      <c r="C17" s="8" t="s">
        <v>28</v>
      </c>
      <c r="D17" s="7" t="s">
        <v>29</v>
      </c>
      <c r="E17" s="9" t="s">
        <v>30</v>
      </c>
      <c r="F17" s="9" t="s">
        <v>31</v>
      </c>
      <c r="G17" s="9">
        <f>=E17*F17</f>
        <v>0</v>
      </c>
    </row>
    <row r="18" ht="24" customHeight="1" spans="1:7" x14ac:dyDescent="0.25">
      <c r="A18" s="7">
        <v>2</v>
      </c>
      <c r="B18" s="8" t="s">
        <v>32</v>
      </c>
      <c r="C18" s="8" t="s">
        <v>33</v>
      </c>
      <c r="D18" s="7" t="s">
        <v>29</v>
      </c>
      <c r="E18" s="9" t="s">
        <v>34</v>
      </c>
      <c r="F18" s="9" t="s">
        <v>35</v>
      </c>
      <c r="G18" s="9">
        <f>=E18*F18</f>
        <v>0</v>
      </c>
    </row>
    <row r="19" ht="24" customHeight="1" spans="1:7" x14ac:dyDescent="0.25">
      <c r="A19" s="7">
        <v>3</v>
      </c>
      <c r="B19" s="8" t="s">
        <v>36</v>
      </c>
      <c r="C19" s="8" t="s">
        <v>37</v>
      </c>
      <c r="D19" s="7" t="s">
        <v>29</v>
      </c>
      <c r="E19" s="9" t="s">
        <v>38</v>
      </c>
      <c r="F19" s="9" t="s">
        <v>39</v>
      </c>
      <c r="G19" s="9">
        <f>=E19*F19</f>
        <v>0</v>
      </c>
    </row>
    <row r="20" ht="24" customHeight="1" spans="1:7" x14ac:dyDescent="0.25">
      <c r="A20" s="7">
        <v>4</v>
      </c>
      <c r="B20" s="8" t="s">
        <v>40</v>
      </c>
      <c r="C20" s="8" t="s">
        <v>41</v>
      </c>
      <c r="D20" s="7" t="s">
        <v>42</v>
      </c>
      <c r="E20" s="9" t="s">
        <v>43</v>
      </c>
      <c r="F20" s="9" t="s">
        <v>44</v>
      </c>
      <c r="G20" s="9">
        <f>=E20*F20</f>
        <v>0</v>
      </c>
    </row>
    <row r="21" ht="22" customHeight="1" spans="1:7" x14ac:dyDescent="0.25">
      <c r="A21" s="10"/>
      <c r="B21" s="11" t="s">
        <v>45</v>
      </c>
      <c r="C21" s="11"/>
      <c r="D21" s="11"/>
      <c r="E21" s="11"/>
      <c r="F21" s="11"/>
      <c r="G21" s="12">
        <f>=SUM(G17:G20)</f>
        <v>0</v>
      </c>
    </row>
    <row r="22" ht="22" customHeight="1" spans="1:7" x14ac:dyDescent="0.25">
      <c r="A22" s="10"/>
      <c r="B22" s="13" t="s">
        <v>46</v>
      </c>
      <c r="C22" s="13"/>
      <c r="D22" s="13"/>
      <c r="E22" s="13"/>
      <c r="F22" s="13"/>
      <c r="G22" s="14">
        <f>=ROUND(G21*0.05, 0)</f>
        <v>0</v>
      </c>
    </row>
    <row r="23" ht="22" customHeight="1" spans="1:7" x14ac:dyDescent="0.25">
      <c r="A23" s="15"/>
      <c r="B23" s="16" t="s">
        <v>47</v>
      </c>
      <c r="C23" s="16"/>
      <c r="D23" s="16"/>
      <c r="E23" s="16"/>
      <c r="F23" s="16"/>
      <c r="G23" s="17">
        <f>=G21+G22</f>
        <v>0</v>
      </c>
    </row>
    <row r="25" spans="2:2" x14ac:dyDescent="0.25">
      <c r="B25" s="18" t="s">
        <v>48</v>
      </c>
    </row>
    <row r="26" spans="2:2" x14ac:dyDescent="0.25">
      <c r="B26" t="s">
        <v>49</v>
      </c>
    </row>
    <row r="27" spans="2:2" x14ac:dyDescent="0.25">
      <c r="B27" t="s">
        <v>50</v>
      </c>
    </row>
    <row r="28" spans="2:2" x14ac:dyDescent="0.25">
      <c r="B28" t="s">
        <v>51</v>
      </c>
    </row>
    <row r="29" spans="2:2" x14ac:dyDescent="0.25">
      <c r="B29" t="s">
        <v>52</v>
      </c>
    </row>
    <row r="31" spans="2:2" x14ac:dyDescent="0.25">
      <c r="B31" s="18" t="s">
        <v>53</v>
      </c>
    </row>
    <row r="32" ht="45" customHeight="1" spans="2:2" x14ac:dyDescent="0.25">
      <c r="B32" s="19" t="s">
        <v>54</v>
      </c>
    </row>
    <row r="34" ht="30" customHeight="1" spans="2:6" x14ac:dyDescent="0.25">
      <c r="B34" t="s">
        <v>55</v>
      </c>
      <c r="F34" t="s">
        <v>56</v>
      </c>
    </row>
  </sheetData>
  <mergeCells count="7">
    <mergeCell ref="B2:G2"/>
    <mergeCell ref="B3:G3"/>
    <mergeCell ref="B12:G12"/>
    <mergeCell ref="B14:G14"/>
    <mergeCell ref="B21:F21"/>
    <mergeCell ref="B22:F22"/>
    <mergeCell ref="B23:F23"/>
  </mergeCells>
  <pageMargins left="0.7" right="0.7" top="0.75" bottom="0.75" header="0.3" footer="0.3"/>
  <pageSetup paperSize="9" orientation="portrait" horizontalDpi="4294967295" verticalDpi="4294967295" scale="100" fitToWidth="1" fitToHeight="1"/>
  <headerFooter>
    <oddHeader>&amp;L&amp;B智匯創想科技有限公司&amp;R商業機密文件</oddHeader>
    <oddFooter>&amp;C第 &amp;P 頁，共 &amp;N 頁</oddFooter>
    <firstHeader>&amp;L&amp;B智匯創想科技有限公司&amp;R商業機密文件</firstHeader>
    <firstFooter>&amp;C第 &amp;P 頁，共 &amp;N 頁</first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商務報價單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Universal Template Filler</dc:creator>
  <dc:title/>
  <dc:subject/>
  <dc:description/>
  <cp:keywords/>
  <cp:category/>
  <cp:lastModifiedBy>Unknown</cp:lastModifiedBy>
  <dcterms:created xsi:type="dcterms:W3CDTF">2026-09-27T06:07:52Z</dcterms:created>
  <dcterms:modified xsi:type="dcterms:W3CDTF">2026-09-27T06:07:52Z</dcterms:modified>
</cp:coreProperties>
</file>